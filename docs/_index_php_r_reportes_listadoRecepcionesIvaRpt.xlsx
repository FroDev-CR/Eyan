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men" sheetId="1" r:id="rId4"/>
    <sheet name="RptListadoRecepciones" sheetId="2" r:id="rId5"/>
  </sheets>
  <definedNames>
    <definedName name="_xlnm._FilterDatabase" localSheetId="1" hidden="1">'RptListadoRecepciones'!$A$5:$I$5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<sst xmlns="http://schemas.openxmlformats.org/spreadsheetml/2006/main" uniqueCount="63">
  <si>
    <t>GRUPO EYAN SOCIEDAD ANONIMA</t>
  </si>
  <si>
    <t>Del 10/05/2026 al 17/05/2026</t>
  </si>
  <si>
    <t>Tipo de Impuesto</t>
  </si>
  <si>
    <t>Cantidad de Documentos</t>
  </si>
  <si>
    <t>Subtotal</t>
  </si>
  <si>
    <t>Impuesto</t>
  </si>
  <si>
    <t>MONEDA: CRC</t>
  </si>
  <si>
    <t>IVA - Tarifa 0% (Exento/No sujeto)</t>
  </si>
  <si>
    <t>TOTAL CRC</t>
  </si>
  <si>
    <t>Informe 2026</t>
  </si>
  <si>
    <t>domingo, 17 de mayo de 2026</t>
  </si>
  <si>
    <t>3101677602</t>
  </si>
  <si>
    <r>
      <rPr>
        <rFont val="Calibri"/>
        <b val="true"/>
        <i val="false"/>
        <strike val="false"/>
        <color rgb="FF000000"/>
        <sz val="18"/>
        <u val="none"/>
      </rPr>
      <t xml:space="preserve">Listado de Recepciones</t>
    </r>
    <r>
      <rPr>
        <rFont val="Arial"/>
        <b val="false"/>
        <i val="false"/>
        <strike val="false"/>
        <color rgb="FF000000"/>
        <sz val="10"/>
        <u val="none"/>
      </rPr>
      <t xml:space="preserve">
Del 10/05/2026 al 17/05/2026</t>
    </r>
  </si>
  <si>
    <t>Tipo de Documento</t>
  </si>
  <si>
    <t>Identificación Proveedor</t>
  </si>
  <si>
    <t>Nombre Proveedor</t>
  </si>
  <si>
    <t>Consecutivo Documento</t>
  </si>
  <si>
    <t>Respuesta Hacienda</t>
  </si>
  <si>
    <t>Fecha Documento</t>
  </si>
  <si>
    <t>Fecha Respuesta</t>
  </si>
  <si>
    <t>Respuesta Cliente</t>
  </si>
  <si>
    <t>Moneda</t>
  </si>
  <si>
    <t>Total</t>
  </si>
  <si>
    <t>IVA - Tarifa reducida 1%</t>
  </si>
  <si>
    <t>IVA - Tarifa reducida 2%</t>
  </si>
  <si>
    <t>IVA - Tarifa reducida 4%</t>
  </si>
  <si>
    <t>IVA - Transitorio 0%</t>
  </si>
  <si>
    <t>IVA - Transitorio 4%</t>
  </si>
  <si>
    <t>IVA - Transitorio 8%</t>
  </si>
  <si>
    <t>IVA - Tarifa general 13%</t>
  </si>
  <si>
    <t>IVA (cálculo especial) - Tarifa 0% (Exento/No sujeto)</t>
  </si>
  <si>
    <t>IVA (cálculo especial) - Tarifa reducida 1%</t>
  </si>
  <si>
    <t>IVA (cálculo especial) - Tarifa reducida 2%</t>
  </si>
  <si>
    <t>IVA (cálculo especial) - Tarifa reducida 4%</t>
  </si>
  <si>
    <t>IVA (cálculo especial) - Transitorio 0%</t>
  </si>
  <si>
    <t>IVA (cálculo especial) - Transitorio 4%</t>
  </si>
  <si>
    <t>IVA (cálculo especial) - Transitorio 8%</t>
  </si>
  <si>
    <t>IVA (cálculo especial) - Tarifa general 13%</t>
  </si>
  <si>
    <t>IVA Régimen de Bienes Usados (Factor)</t>
  </si>
  <si>
    <t>Impuesto Selectivo de Consumo</t>
  </si>
  <si>
    <t>Impuesto Único a los Combustibles</t>
  </si>
  <si>
    <t>Impuesto específico de Bebidas Alcohólicas</t>
  </si>
  <si>
    <t>Impuesto Específico sobre las bebidas envasadas sin contenido alcohólico y jabones de tocador</t>
  </si>
  <si>
    <t>Impuesto a los Productos de Tabaco</t>
  </si>
  <si>
    <t>Impuesto Específico al Cemento</t>
  </si>
  <si>
    <t>Otros</t>
  </si>
  <si>
    <t>Factura Electrónica</t>
  </si>
  <si>
    <t>3101136572</t>
  </si>
  <si>
    <t>BCT Arrendadora</t>
  </si>
  <si>
    <t>00100001010000114943</t>
  </si>
  <si>
    <t>Aceptado</t>
  </si>
  <si>
    <t>20/03/2026</t>
  </si>
  <si>
    <t>15/05/2026</t>
  </si>
  <si>
    <t>Aceptada</t>
  </si>
  <si>
    <t>CRC</t>
  </si>
  <si>
    <t>Total:</t>
  </si>
  <si>
    <t>CRT</t>
  </si>
  <si>
    <t>Resumen de colores:</t>
  </si>
  <si>
    <t>Facturas electrónicas</t>
  </si>
  <si>
    <t>Tiquetes electrónicos</t>
  </si>
  <si>
    <t>Facturas a crédito</t>
  </si>
  <si>
    <t>Notas de crédito</t>
  </si>
  <si>
    <t>Notas de débito</t>
  </si>
</sst>
</file>

<file path=xl/styles.xml><?xml version="1.0" encoding="utf-8"?>
<styleSheet xmlns="http://schemas.openxmlformats.org/spreadsheetml/2006/main" xml:space="preserve">
  <numFmts count="1">
    <numFmt numFmtId="164" formatCode="&quot;₡&quot;#,##0"/>
  </numFmts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1F4E79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518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03151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4BACC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164" fillId="0" borderId="0" applyFont="1" applyNumberFormat="1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8" numFmtId="0" fillId="0" borderId="0" applyFont="1" applyNumberFormat="0" applyFill="0" applyBorder="0" applyAlignment="1">
      <alignment horizontal="general" vertical="top" textRotation="0" wrapText="true" shrinkToFit="false"/>
    </xf>
    <xf xfId="0" fontId="8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4" borderId="0" applyFont="1" applyNumberFormat="0" applyFill="1" applyBorder="0" applyAlignment="1">
      <alignment horizontal="general" vertical="top" textRotation="0" wrapText="true" shrinkToFit="false"/>
    </xf>
    <xf xfId="0" fontId="6" numFmtId="0" fillId="0" borderId="0" applyFont="1" applyNumberFormat="0" applyFill="0" applyBorder="0" applyAlignment="1">
      <alignment horizontal="general" vertical="top" textRotation="0" wrapText="true" shrinkToFit="false"/>
    </xf>
    <xf xfId="0" fontId="9" numFmtId="0" fillId="4" borderId="0" applyFont="1" applyNumberFormat="0" applyFill="1" applyBorder="0" applyAlignment="1">
      <alignment horizontal="center" vertical="top" textRotation="0" wrapText="true" shrinkToFit="false"/>
    </xf>
    <xf xfId="0" fontId="6" numFmtId="0" fillId="0" borderId="0" applyFont="1" applyNumberFormat="0" applyFill="0" applyBorder="0" applyAlignment="1">
      <alignment horizontal="center" vertical="top" textRotation="0" wrapText="true" shrinkToFit="false"/>
    </xf>
    <xf xfId="0" fontId="10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164" fillId="4" borderId="0" applyFont="1" applyNumberFormat="1" applyFill="1" applyBorder="0" applyAlignment="1">
      <alignment horizontal="center" vertical="top" textRotation="0" wrapText="true" shrinkToFit="false"/>
    </xf>
    <xf xfId="0" fontId="10" numFmtId="164" fillId="0" borderId="0" applyFont="1" applyNumberFormat="1" applyFill="0" applyBorder="0" applyAlignment="1">
      <alignment horizontal="center" vertical="top" textRotation="0" wrapText="true" shrinkToFit="false"/>
    </xf>
    <xf xfId="0" fontId="10" numFmtId="4" fillId="0" borderId="0" applyFont="1" applyNumberFormat="1" applyFill="0" applyBorder="0" applyAlignment="1">
      <alignment horizontal="center" vertical="top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4" borderId="0" applyFont="1" applyNumberFormat="0" applyFill="1" applyBorder="0" applyAlignment="1">
      <alignment horizontal="center" vertical="bottom" textRotation="0" wrapText="false" shrinkToFit="false"/>
    </xf>
    <xf xfId="0" fontId="12" numFmtId="0" fillId="5" borderId="0" applyFont="1" applyNumberFormat="0" applyFill="1" applyBorder="0" applyAlignment="1">
      <alignment horizontal="center" vertical="bottom" textRotation="0" wrapText="false" shrinkToFit="false"/>
    </xf>
    <xf xfId="0" fontId="12" numFmtId="0" fillId="6" borderId="0" applyFont="1" applyNumberFormat="0" applyFill="1" applyBorder="0" applyAlignment="1">
      <alignment horizontal="center" vertical="bottom" textRotation="0" wrapText="false" shrinkToFit="false"/>
    </xf>
    <xf xfId="0" fontId="12" numFmtId="0" fillId="7" borderId="0" applyFont="1" applyNumberFormat="0" applyFill="1" applyBorder="0" applyAlignment="1">
      <alignment horizontal="center" vertical="bottom" textRotation="0" wrapText="false" shrinkToFit="false"/>
    </xf>
    <xf xfId="0" fontId="12" numFmtId="0" fillId="8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41.132813" bestFit="true" customWidth="true" style="0"/>
    <col min="2" max="2" width="26.993408" bestFit="true" customWidth="true" style="0"/>
    <col min="3" max="3" width="11.425781" bestFit="true" customWidth="true" style="0"/>
    <col min="4" max="4" width="10.568848" bestFit="true" customWidth="true" style="0"/>
  </cols>
  <sheetData>
    <row r="1" spans="1:4">
      <c r="A1" s="2" t="s">
        <v>0</v>
      </c>
      <c r="B1"/>
      <c r="C1"/>
      <c r="D1"/>
    </row>
    <row r="2" spans="1:4">
      <c r="A2" s="1" t="s">
        <v>1</v>
      </c>
      <c r="B2"/>
      <c r="C2"/>
      <c r="D2"/>
    </row>
    <row r="3" spans="1:4">
      <c r="A3" s="3" t="s">
        <v>2</v>
      </c>
      <c r="B3" s="3" t="s">
        <v>3</v>
      </c>
      <c r="C3" s="3" t="s">
        <v>4</v>
      </c>
      <c r="D3" s="3" t="s">
        <v>5</v>
      </c>
    </row>
    <row r="5" spans="1:4">
      <c r="A5" s="4" t="s">
        <v>6</v>
      </c>
      <c r="B5"/>
      <c r="C5"/>
      <c r="D5"/>
    </row>
    <row r="6" spans="1:4">
      <c r="A6" t="s">
        <v>7</v>
      </c>
      <c r="B6">
        <v>1</v>
      </c>
      <c r="C6" s="5">
        <v>693174.98</v>
      </c>
      <c r="D6" s="5">
        <v>0</v>
      </c>
    </row>
    <row r="7" spans="1:4">
      <c r="A7" s="6" t="s">
        <v>8</v>
      </c>
      <c r="B7" s="6">
        <v>1</v>
      </c>
      <c r="C7" s="7" t="str">
        <f>SUM(C6:C6)</f>
        <v>0</v>
      </c>
      <c r="D7" s="7" t="str">
        <f>SUM(D6:D6)</f>
        <v>0</v>
      </c>
    </row>
    <row r="10" spans="1:4">
      <c r="A10" s="8" t="s">
        <v>9</v>
      </c>
      <c r="B10"/>
      <c r="C10"/>
      <c r="D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5:D5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I18"/>
  <sheetViews>
    <sheetView tabSelected="0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22.851563" bestFit="true" customWidth="true" style="0"/>
  </cols>
  <sheetData>
    <row r="1" spans="1:35" customHeight="1" ht="26.25">
      <c r="A1" s="9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customHeight="1" ht="23.25">
      <c r="A2" s="10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customHeight="1" ht="24.75">
      <c r="A3" s="11" t="s">
        <v>11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customHeight="1" ht="64.5">
      <c r="A4" s="12" t="inlineStr">
        <is>
          <r>
            <rPr>
              <rFont val="Calibri"/>
              <b val="true"/>
              <i val="false"/>
              <strike val="false"/>
              <color rgb="FF000000"/>
              <sz val="18"/>
              <u val="none"/>
            </rPr>
            <t xml:space="preserve">Listado de Recepciones</t>
          </r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
Del 10/05/2026 al 17/05/2026</t>
          </r>
        </is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>
      <c r="A5" s="15" t="s">
        <v>13</v>
      </c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6" t="s">
        <v>19</v>
      </c>
      <c r="H5" s="16" t="s">
        <v>20</v>
      </c>
      <c r="I5" s="16" t="s">
        <v>21</v>
      </c>
      <c r="J5" s="16" t="s">
        <v>5</v>
      </c>
      <c r="K5" s="16" t="s">
        <v>22</v>
      </c>
      <c r="L5" s="16" t="s">
        <v>7</v>
      </c>
      <c r="M5" s="16" t="s">
        <v>23</v>
      </c>
      <c r="N5" s="16" t="s">
        <v>24</v>
      </c>
      <c r="O5" s="16" t="s">
        <v>25</v>
      </c>
      <c r="P5" s="16" t="s">
        <v>26</v>
      </c>
      <c r="Q5" s="16" t="s">
        <v>27</v>
      </c>
      <c r="R5" s="16" t="s">
        <v>28</v>
      </c>
      <c r="S5" s="16" t="s">
        <v>29</v>
      </c>
      <c r="T5" s="16" t="s">
        <v>30</v>
      </c>
      <c r="U5" s="16" t="s">
        <v>31</v>
      </c>
      <c r="V5" s="16" t="s">
        <v>32</v>
      </c>
      <c r="W5" s="16" t="s">
        <v>33</v>
      </c>
      <c r="X5" s="16" t="s">
        <v>34</v>
      </c>
      <c r="Y5" s="16" t="s">
        <v>35</v>
      </c>
      <c r="Z5" s="16" t="s">
        <v>36</v>
      </c>
      <c r="AA5" s="16" t="s">
        <v>37</v>
      </c>
      <c r="AB5" s="16" t="s">
        <v>38</v>
      </c>
      <c r="AC5" s="16" t="s">
        <v>39</v>
      </c>
      <c r="AD5" s="16" t="s">
        <v>40</v>
      </c>
      <c r="AE5" s="16" t="s">
        <v>41</v>
      </c>
      <c r="AF5" s="16" t="s">
        <v>42</v>
      </c>
      <c r="AG5" s="16" t="s">
        <v>43</v>
      </c>
      <c r="AH5" s="16" t="s">
        <v>44</v>
      </c>
      <c r="AI5" s="16" t="s">
        <v>45</v>
      </c>
    </row>
    <row r="6" spans="1:35">
      <c r="A6" s="17" t="s">
        <v>46</v>
      </c>
      <c r="B6" s="17" t="s">
        <v>47</v>
      </c>
      <c r="C6" s="17" t="s">
        <v>48</v>
      </c>
      <c r="D6" s="17" t="s">
        <v>49</v>
      </c>
      <c r="E6" s="17" t="s">
        <v>50</v>
      </c>
      <c r="F6" s="17" t="s">
        <v>51</v>
      </c>
      <c r="G6" s="19" t="s">
        <v>52</v>
      </c>
      <c r="H6" s="19" t="s">
        <v>53</v>
      </c>
      <c r="I6" s="19" t="s">
        <v>54</v>
      </c>
      <c r="J6" s="22">
        <v>0</v>
      </c>
      <c r="K6" s="22">
        <v>693174.98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</row>
    <row r="7" spans="1:35">
      <c r="A7" s="18"/>
      <c r="B7" s="18"/>
      <c r="C7" s="18"/>
      <c r="D7" s="18"/>
      <c r="E7" s="18"/>
      <c r="F7" s="18"/>
      <c r="G7" s="20"/>
      <c r="H7" s="21" t="s">
        <v>55</v>
      </c>
      <c r="I7" s="21" t="s">
        <v>54</v>
      </c>
      <c r="J7" s="23" t="str">
        <f>SUMIF(I6:I6,"CRC",J6:J6)</f>
        <v>0</v>
      </c>
      <c r="K7" s="23" t="str">
        <f>SUMIF(I6:I6,"CRC",K6:K6)</f>
        <v>0</v>
      </c>
      <c r="L7" s="23" t="str">
        <f>SUMIF(I6:I6,"CRC",L6:L6)</f>
        <v>0</v>
      </c>
      <c r="M7" s="23" t="str">
        <f>SUMIF(I6:I6,"CRC",M6:M6)</f>
        <v>0</v>
      </c>
      <c r="N7" s="23" t="str">
        <f>SUMIF(I6:I6,"CRC",N6:N6)</f>
        <v>0</v>
      </c>
      <c r="O7" s="23" t="str">
        <f>SUMIF(I6:I6,"CRC",O6:O6)</f>
        <v>0</v>
      </c>
      <c r="P7" s="23" t="str">
        <f>SUMIF(I6:I6,"CRC",P6:P6)</f>
        <v>0</v>
      </c>
      <c r="Q7" s="23" t="str">
        <f>SUMIF(I6:I6,"CRC",Q6:Q6)</f>
        <v>0</v>
      </c>
      <c r="R7" s="23" t="str">
        <f>SUMIF(I6:I6,"CRC",R6:R6)</f>
        <v>0</v>
      </c>
      <c r="S7" s="23" t="str">
        <f>SUMIF(I6:I6,"CRC",S6:S6)</f>
        <v>0</v>
      </c>
      <c r="T7" s="23" t="str">
        <f>SUMIF(I6:I6,"CRC",T6:T6)</f>
        <v>0</v>
      </c>
      <c r="U7" s="23" t="str">
        <f>SUMIF(I6:I6,"CRC",U6:U6)</f>
        <v>0</v>
      </c>
      <c r="V7" s="23" t="str">
        <f>SUMIF(I6:I6,"CRC",V6:V6)</f>
        <v>0</v>
      </c>
      <c r="W7" s="23" t="str">
        <f>SUMIF(I6:I6,"CRC",W6:W6)</f>
        <v>0</v>
      </c>
      <c r="X7" s="23" t="str">
        <f>SUMIF(I6:I6,"CRC",X6:X6)</f>
        <v>0</v>
      </c>
      <c r="Y7" s="23" t="str">
        <f>SUMIF(I6:I6,"CRC",Y6:Y6)</f>
        <v>0</v>
      </c>
      <c r="Z7" s="23" t="str">
        <f>SUMIF(I6:I6,"CRC",Z6:Z6)</f>
        <v>0</v>
      </c>
      <c r="AA7" s="23" t="str">
        <f>SUMIF(I6:I6,"CRC",AA6:AA6)</f>
        <v>0</v>
      </c>
      <c r="AB7" s="23" t="str">
        <f>SUMIF(I6:I6,"CRC",AB6:AB6)</f>
        <v>0</v>
      </c>
      <c r="AC7" s="23" t="str">
        <f>SUMIF(I6:I6,"CRC",AC6:AC6)</f>
        <v>0</v>
      </c>
      <c r="AD7" s="23" t="str">
        <f>SUMIF(I6:I6,"CRC",AD6:AD6)</f>
        <v>0</v>
      </c>
      <c r="AE7" s="23" t="str">
        <f>SUMIF(I6:I6,"CRC",AE6:AE6)</f>
        <v>0</v>
      </c>
      <c r="AF7" s="23" t="str">
        <f>SUMIF(I6:I6,"CRC",AF6:AF6)</f>
        <v>0</v>
      </c>
      <c r="AG7" s="23" t="str">
        <f>SUMIF(I6:I6,"CRC",AG6:AG6)</f>
        <v>0</v>
      </c>
      <c r="AH7" s="23" t="str">
        <f>SUMIF(I6:I6,"CRC",AH6:AH6)</f>
        <v>0</v>
      </c>
      <c r="AI7" s="23" t="str">
        <f>SUMIF(I6:I6,"CRC",AI6:AI6)</f>
        <v>0</v>
      </c>
    </row>
    <row r="8" spans="1:35">
      <c r="A8" s="18"/>
      <c r="B8" s="18"/>
      <c r="C8" s="18"/>
      <c r="D8" s="18"/>
      <c r="E8" s="18"/>
      <c r="F8" s="18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</row>
    <row r="9" spans="1:35">
      <c r="A9" s="18"/>
      <c r="B9" s="18"/>
      <c r="C9" s="18"/>
      <c r="D9" s="18"/>
      <c r="E9" s="18"/>
      <c r="F9" s="18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1:35">
      <c r="A10" s="18"/>
      <c r="B10" s="18"/>
      <c r="C10" s="18"/>
      <c r="D10" s="18"/>
      <c r="E10" s="18"/>
      <c r="F10" s="18"/>
      <c r="G10" s="20"/>
      <c r="H10" s="20"/>
      <c r="I10" s="21" t="s">
        <v>56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</row>
    <row r="11" spans="1:35">
      <c r="A11" s="18"/>
      <c r="B11" s="18"/>
      <c r="C11" s="18"/>
      <c r="D11" s="18"/>
      <c r="E11" s="18"/>
      <c r="F11" s="18"/>
      <c r="G11" s="20"/>
      <c r="H11" s="20"/>
      <c r="I11" s="21" t="s">
        <v>54</v>
      </c>
      <c r="J11" s="24" t="str">
        <f>SUMIF(I6:I6,"CRC",J6:J6)*100/13</f>
        <v>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3" spans="1:35">
      <c r="A13" s="25" t="s">
        <v>57</v>
      </c>
      <c r="B13"/>
      <c r="C13"/>
      <c r="D13"/>
      <c r="E13"/>
      <c r="F13"/>
      <c r="G13"/>
      <c r="H13"/>
      <c r="I13"/>
      <c r="J13"/>
      <c r="K13"/>
    </row>
    <row r="14" spans="1:35">
      <c r="A14" s="26" t="s">
        <v>58</v>
      </c>
      <c r="B14"/>
      <c r="C14"/>
      <c r="D14"/>
      <c r="E14"/>
      <c r="F14"/>
      <c r="G14"/>
      <c r="H14"/>
      <c r="I14"/>
      <c r="J14"/>
      <c r="K14"/>
    </row>
    <row r="15" spans="1:35">
      <c r="A15" s="27" t="s">
        <v>59</v>
      </c>
      <c r="B15"/>
      <c r="C15"/>
      <c r="D15"/>
      <c r="E15"/>
      <c r="F15"/>
      <c r="G15"/>
      <c r="H15"/>
      <c r="I15"/>
      <c r="J15"/>
      <c r="K15"/>
    </row>
    <row r="16" spans="1:35">
      <c r="A16" s="28" t="s">
        <v>60</v>
      </c>
      <c r="B16"/>
      <c r="C16"/>
      <c r="D16"/>
      <c r="E16"/>
      <c r="F16"/>
      <c r="G16"/>
      <c r="H16"/>
      <c r="I16"/>
      <c r="J16"/>
      <c r="K16"/>
    </row>
    <row r="17" spans="1:35">
      <c r="A17" s="29" t="s">
        <v>61</v>
      </c>
      <c r="B17"/>
      <c r="C17"/>
      <c r="D17"/>
      <c r="E17"/>
      <c r="F17"/>
      <c r="G17"/>
      <c r="H17"/>
      <c r="I17"/>
      <c r="J17"/>
      <c r="K17"/>
    </row>
    <row r="18" spans="1:35">
      <c r="A18" s="30" t="s">
        <v>62</v>
      </c>
      <c r="B18"/>
      <c r="C18"/>
      <c r="D18"/>
      <c r="E18"/>
      <c r="F18"/>
      <c r="G18"/>
      <c r="H18"/>
      <c r="I18"/>
      <c r="J18"/>
      <c r="K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I5"/>
  <mergeCells>
    <mergeCell ref="A1:K1"/>
    <mergeCell ref="A2:AI2"/>
    <mergeCell ref="A3:K3"/>
    <mergeCell ref="A4:K4"/>
    <mergeCell ref="A13:K13"/>
    <mergeCell ref="A14:K14"/>
    <mergeCell ref="A15:K15"/>
    <mergeCell ref="A16:K16"/>
    <mergeCell ref="A17:K17"/>
    <mergeCell ref="A18:K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RptListadoRecepciones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2026-05-17T23:34:56-06:00</dcterms:created>
  <dcterms:modified xsi:type="dcterms:W3CDTF">2026-05-17T23:34:56-06:00</dcterms:modified>
  <dc:title>Untitled Spreadsheet</dc:title>
  <dc:description/>
  <dc:subject/>
  <cp:keywords/>
  <cp:category/>
</cp:coreProperties>
</file>