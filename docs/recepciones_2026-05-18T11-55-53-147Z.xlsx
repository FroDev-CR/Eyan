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 de Recepciones" sheetId="1" r:id="rId4"/>
    <sheet name="Listado de Recepciones" sheetId="2" r:id="rId5"/>
  </sheets>
  <definedNames>
    <definedName name="_xlnm._FilterDatabase" localSheetId="1" hidden="1">'Listado de Recepciones'!$A$5:$I$5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<sst xmlns="http://schemas.openxmlformats.org/spreadsheetml/2006/main" uniqueCount="40">
  <si>
    <t>lunes, 18 de mayo de 2026</t>
  </si>
  <si>
    <t>GRUPO EYAN SOCIEDAD ANONIMA</t>
  </si>
  <si>
    <t>Resumen de Recepciones</t>
  </si>
  <si>
    <t>Del 11/05/2026 al 18/05/2026</t>
  </si>
  <si>
    <t>Tipo de Documento</t>
  </si>
  <si>
    <t>Subtotal CRC</t>
  </si>
  <si>
    <t>IVA CRC</t>
  </si>
  <si>
    <t>Total CRC</t>
  </si>
  <si>
    <t>Subtotal USD</t>
  </si>
  <si>
    <t>IVA USD</t>
  </si>
  <si>
    <t>Total USD</t>
  </si>
  <si>
    <t>Facturas electrónicas</t>
  </si>
  <si>
    <t>Tiquetes electrónicos</t>
  </si>
  <si>
    <t>Facturas a crédito</t>
  </si>
  <si>
    <t>Notas de crédito</t>
  </si>
  <si>
    <t>Notas de débito</t>
  </si>
  <si>
    <t>TOTAL</t>
  </si>
  <si>
    <t>3101677602</t>
  </si>
  <si>
    <r>
      <rPr>
        <rFont val="Calibri"/>
        <b val="true"/>
        <i val="false"/>
        <strike val="false"/>
        <color rgb="FF000000"/>
        <sz val="18"/>
        <u val="none"/>
      </rPr>
      <t xml:space="preserve">Listado de Recepciones</t>
    </r>
    <r>
      <rPr>
        <rFont val="Arial"/>
        <b val="false"/>
        <i val="false"/>
        <strike val="false"/>
        <color rgb="FF000000"/>
        <sz val="10"/>
        <u val="none"/>
      </rPr>
      <t xml:space="preserve">
Del 11/05/2026 al 18/05/2026</t>
    </r>
  </si>
  <si>
    <t>Identificación Proveedor</t>
  </si>
  <si>
    <t>Nombre Proveedor</t>
  </si>
  <si>
    <t>Consecutivo Documento</t>
  </si>
  <si>
    <t>Respuesta Hacienda</t>
  </si>
  <si>
    <t>Fecha Documento</t>
  </si>
  <si>
    <t>Fecha Respuesta</t>
  </si>
  <si>
    <t>Respuesta Cliente</t>
  </si>
  <si>
    <t>Moneda</t>
  </si>
  <si>
    <t>Impuesto</t>
  </si>
  <si>
    <t>Total</t>
  </si>
  <si>
    <t>Factura Electrónica</t>
  </si>
  <si>
    <t>3101136572</t>
  </si>
  <si>
    <t>BCT Arrendadora</t>
  </si>
  <si>
    <t>00100001010000114943</t>
  </si>
  <si>
    <t>Aceptado</t>
  </si>
  <si>
    <t>20/03/2026</t>
  </si>
  <si>
    <t>15/05/2026</t>
  </si>
  <si>
    <t>Aceptada</t>
  </si>
  <si>
    <t>CRC</t>
  </si>
  <si>
    <t>CRT</t>
  </si>
  <si>
    <t>Resumen de colores:</t>
  </si>
</sst>
</file>

<file path=xl/styles.xml><?xml version="1.0" encoding="utf-8"?>
<styleSheet xmlns="http://schemas.openxmlformats.org/spreadsheetml/2006/main" xml:space="preserve">
  <numFmts count="2">
    <numFmt numFmtId="164" formatCode="&quot;₡&quot;#,##0"/>
    <numFmt numFmtId="165" formatCode="&quot;$&quot;#,##0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518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4BACC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5" fillId="3" borderId="0" applyFont="1" applyNumberFormat="1" applyFill="1" applyBorder="0" applyAlignment="1">
      <alignment horizontal="center" vertical="center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65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5" numFmtId="164" fillId="5" borderId="0" applyFont="1" applyNumberFormat="1" applyFill="1" applyBorder="0" applyAlignment="1">
      <alignment horizontal="center" vertical="center" textRotation="0" wrapText="false" shrinkToFit="false"/>
    </xf>
    <xf xfId="0" fontId="5" numFmtId="165" fillId="5" borderId="0" applyFont="1" applyNumberFormat="1" applyFill="1" applyBorder="0" applyAlignment="1">
      <alignment horizontal="center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bottom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5" numFmtId="164" fillId="6" borderId="0" applyFont="1" applyNumberFormat="1" applyFill="1" applyBorder="0" applyAlignment="1">
      <alignment horizontal="center" vertical="center" textRotation="0" wrapText="false" shrinkToFit="false"/>
    </xf>
    <xf xfId="0" fontId="5" numFmtId="165" fillId="6" borderId="0" applyFont="1" applyNumberFormat="1" applyFill="1" applyBorder="0" applyAlignment="1">
      <alignment horizontal="center" vertical="center" textRotation="0" wrapText="false" shrinkToFit="false"/>
    </xf>
    <xf xfId="0" fontId="5" numFmtId="0" fillId="7" borderId="0" applyFont="1" applyNumberFormat="0" applyFill="1" applyBorder="0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1">
      <alignment horizontal="center" vertical="center" textRotation="0" wrapText="false" shrinkToFit="false"/>
    </xf>
    <xf xfId="0" fontId="5" numFmtId="164" fillId="7" borderId="0" applyFont="1" applyNumberFormat="1" applyFill="1" applyBorder="0" applyAlignment="1">
      <alignment horizontal="center" vertical="center" textRotation="0" wrapText="false" shrinkToFit="false"/>
    </xf>
    <xf xfId="0" fontId="5" numFmtId="165" fillId="7" borderId="0" applyFont="1" applyNumberFormat="1" applyFill="1" applyBorder="0" applyAlignment="1">
      <alignment horizontal="center" vertical="center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4" numFmtId="165" fillId="0" borderId="0" applyFont="1" applyNumberFormat="1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8" numFmtId="0" fillId="0" borderId="0" applyFont="1" applyNumberFormat="0" applyFill="0" applyBorder="0" applyAlignment="1">
      <alignment horizontal="general" vertical="top" textRotation="0" wrapText="true" shrinkToFit="false"/>
    </xf>
    <xf xfId="0" fontId="8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3" borderId="0" applyFont="1" applyNumberFormat="0" applyFill="1" applyBorder="0" applyAlignment="1">
      <alignment horizontal="general" vertical="top" textRotation="0" wrapText="true" shrinkToFit="false"/>
    </xf>
    <xf xfId="0" fontId="6" numFmtId="0" fillId="0" borderId="0" applyFont="1" applyNumberFormat="0" applyFill="0" applyBorder="0" applyAlignment="1">
      <alignment horizontal="general" vertical="top" textRotation="0" wrapText="true" shrinkToFit="false"/>
    </xf>
    <xf xfId="0" fontId="9" numFmtId="0" fillId="3" borderId="0" applyFont="1" applyNumberFormat="0" applyFill="1" applyBorder="0" applyAlignment="1">
      <alignment horizontal="center"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164" fillId="3" borderId="0" applyFont="1" applyNumberFormat="1" applyFill="1" applyBorder="0" applyAlignment="1">
      <alignment horizontal="center" vertical="top" textRotation="0" wrapText="true" shrinkToFit="false"/>
    </xf>
    <xf xfId="0" fontId="10" numFmtId="164" fillId="0" borderId="0" applyFont="1" applyNumberFormat="1" applyFill="0" applyBorder="0" applyAlignment="1">
      <alignment horizontal="center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8C00"/>
    <outlinePr summaryBelow="1" summaryRight="1"/>
  </sheetPr>
  <dimension ref="A1:G12"/>
  <sheetViews>
    <sheetView tabSelected="1" workbookViewId="0" showGridLines="true" showRowColHeaders="1">
      <selection activeCell="E12" sqref="E12"/>
    </sheetView>
  </sheetViews>
  <sheetFormatPr defaultRowHeight="14.4" outlineLevelRow="0" outlineLevelCol="0"/>
  <cols>
    <col min="1" max="1" width="25.85083" bestFit="true" customWidth="true" style="0"/>
    <col min="2" max="2" width="15.281982" bestFit="true" customWidth="true" style="0"/>
    <col min="3" max="3" width="9.283447000000001" bestFit="true" customWidth="true" style="0"/>
    <col min="4" max="4" width="11.711426" bestFit="true" customWidth="true" style="0"/>
    <col min="5" max="5" width="15.281982" bestFit="true" customWidth="true" style="0"/>
    <col min="6" max="6" width="9.283447000000001" bestFit="true" customWidth="true" style="0"/>
    <col min="7" max="7" width="11.711426" bestFit="true" customWidth="true" style="0"/>
  </cols>
  <sheetData>
    <row r="1" spans="1:7">
      <c r="A1" s="1" t="s">
        <v>0</v>
      </c>
      <c r="B1"/>
      <c r="C1"/>
      <c r="D1"/>
      <c r="E1"/>
      <c r="F1"/>
      <c r="G1"/>
    </row>
    <row r="2" spans="1:7">
      <c r="A2" s="2" t="s">
        <v>1</v>
      </c>
      <c r="B2"/>
      <c r="C2"/>
      <c r="D2"/>
      <c r="E2"/>
      <c r="F2"/>
      <c r="G2"/>
    </row>
    <row r="3" spans="1:7">
      <c r="A3" s="3" t="s">
        <v>2</v>
      </c>
      <c r="B3"/>
      <c r="C3"/>
      <c r="D3"/>
      <c r="E3"/>
      <c r="F3"/>
      <c r="G3"/>
    </row>
    <row r="4" spans="1:7">
      <c r="A4" s="4" t="s">
        <v>3</v>
      </c>
      <c r="B4"/>
      <c r="C4"/>
      <c r="D4"/>
      <c r="E4"/>
      <c r="F4"/>
      <c r="G4"/>
    </row>
    <row r="6" spans="1:7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>
      <c r="A7" s="8" t="s">
        <v>11</v>
      </c>
      <c r="B7" s="9">
        <v>667829.24</v>
      </c>
      <c r="C7" s="9">
        <v>25345.74</v>
      </c>
      <c r="D7" s="9">
        <v>693174.98</v>
      </c>
      <c r="E7" s="10">
        <v>0</v>
      </c>
      <c r="F7" s="10">
        <v>0</v>
      </c>
      <c r="G7" s="10">
        <v>0</v>
      </c>
    </row>
    <row r="8" spans="1:7">
      <c r="A8" s="12" t="s">
        <v>12</v>
      </c>
      <c r="B8" s="13">
        <v>0</v>
      </c>
      <c r="C8" s="13">
        <v>0</v>
      </c>
      <c r="D8" s="13">
        <v>0</v>
      </c>
      <c r="E8" s="14">
        <v>0</v>
      </c>
      <c r="F8" s="14">
        <v>0</v>
      </c>
      <c r="G8" s="14">
        <v>0</v>
      </c>
    </row>
    <row r="9" spans="1:7">
      <c r="A9" s="16" t="s">
        <v>13</v>
      </c>
      <c r="B9" s="17">
        <v>0</v>
      </c>
      <c r="C9" s="17">
        <v>0</v>
      </c>
      <c r="D9" s="17">
        <v>0</v>
      </c>
      <c r="E9" s="18">
        <v>0</v>
      </c>
      <c r="F9" s="18">
        <v>0</v>
      </c>
      <c r="G9" s="18">
        <v>0</v>
      </c>
    </row>
    <row r="10" spans="1:7">
      <c r="A10" s="20" t="s">
        <v>14</v>
      </c>
      <c r="B10" s="21">
        <v>0</v>
      </c>
      <c r="C10" s="21">
        <v>0</v>
      </c>
      <c r="D10" s="21">
        <v>0</v>
      </c>
      <c r="E10" s="22">
        <v>0</v>
      </c>
      <c r="F10" s="22">
        <v>0</v>
      </c>
      <c r="G10" s="22">
        <v>0</v>
      </c>
    </row>
    <row r="11" spans="1:7">
      <c r="A11" s="24" t="s">
        <v>15</v>
      </c>
      <c r="B11" s="25">
        <v>0</v>
      </c>
      <c r="C11" s="25">
        <v>0</v>
      </c>
      <c r="D11" s="25">
        <v>0</v>
      </c>
      <c r="E11" s="26">
        <v>0</v>
      </c>
      <c r="F11" s="26">
        <v>0</v>
      </c>
      <c r="G11" s="26">
        <v>0</v>
      </c>
    </row>
    <row r="12" spans="1:7">
      <c r="A12" s="5" t="s">
        <v>16</v>
      </c>
      <c r="B12" s="27" t="str">
        <f>SUM(B7:B11)</f>
        <v>0</v>
      </c>
      <c r="C12" s="27" t="str">
        <f>SUM(C7:C11)</f>
        <v>0</v>
      </c>
      <c r="D12" s="27" t="str">
        <f>SUM(D7:D11)</f>
        <v>0</v>
      </c>
      <c r="E12" s="28" t="str">
        <f>SUM(E7:E11)</f>
        <v>0</v>
      </c>
      <c r="F12" s="28" t="str">
        <f>SUM(F7:F11)</f>
        <v>0</v>
      </c>
      <c r="G12" s="28" t="str">
        <f>SUM(G7:G11)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G3"/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tabColor rgb="FF00FF00"/>
    <outlinePr summaryBelow="1" summaryRight="1"/>
  </sheetPr>
  <dimension ref="A1:K17"/>
  <sheetViews>
    <sheetView tabSelected="0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2.851563" bestFit="true" customWidth="true" style="0"/>
    <col min="2" max="2" width="31.278076" bestFit="true" customWidth="true" style="0"/>
    <col min="3" max="3" width="21.137695" bestFit="true" customWidth="true" style="0"/>
    <col min="4" max="4" width="27.421875" bestFit="true" customWidth="true" style="0"/>
    <col min="5" max="5" width="23.708496" bestFit="true" customWidth="true" style="0"/>
    <col min="6" max="6" width="19.995117" bestFit="true" customWidth="true" style="0"/>
    <col min="7" max="7" width="19.995117" bestFit="true" customWidth="true" style="0"/>
    <col min="8" max="8" width="22.423096" bestFit="true" customWidth="true" style="0"/>
    <col min="9" max="9" width="8.569336" bestFit="true" customWidth="true" style="0"/>
    <col min="10" max="10" width="11.140137" bestFit="true" customWidth="true" style="0"/>
    <col min="11" max="11" width="10.283203" bestFit="true" customWidth="true" style="0"/>
  </cols>
  <sheetData>
    <row r="1" spans="1:11" customHeight="1" ht="26.25">
      <c r="A1" s="29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customHeight="1" ht="23.25">
      <c r="A2" s="30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customHeight="1" ht="24.75">
      <c r="A3" s="31" t="s">
        <v>17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customHeight="1" ht="64.5">
      <c r="A4" s="32" t="inlineStr">
        <is>
          <r>
            <rPr>
              <rFont val="Calibri"/>
              <b val="true"/>
              <i val="false"/>
              <strike val="false"/>
              <color rgb="FF000000"/>
              <sz val="18"/>
              <u val="none"/>
            </rPr>
            <t xml:space="preserve">Listado de Recepciones</t>
          </r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
Del 11/05/2026 al 18/05/2026</t>
          </r>
        </is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>
      <c r="A5" s="35" t="s">
        <v>4</v>
      </c>
      <c r="B5" s="35" t="s">
        <v>19</v>
      </c>
      <c r="C5" s="35" t="s">
        <v>20</v>
      </c>
      <c r="D5" s="35" t="s">
        <v>21</v>
      </c>
      <c r="E5" s="35" t="s">
        <v>22</v>
      </c>
      <c r="F5" s="35" t="s">
        <v>23</v>
      </c>
      <c r="G5" s="36" t="s">
        <v>24</v>
      </c>
      <c r="H5" s="36" t="s">
        <v>25</v>
      </c>
      <c r="I5" s="36" t="s">
        <v>26</v>
      </c>
      <c r="J5" s="36" t="s">
        <v>27</v>
      </c>
      <c r="K5" s="36" t="s">
        <v>28</v>
      </c>
    </row>
    <row r="6" spans="1:11">
      <c r="A6" s="37" t="s">
        <v>29</v>
      </c>
      <c r="B6" s="37" t="s">
        <v>30</v>
      </c>
      <c r="C6" s="37" t="s">
        <v>31</v>
      </c>
      <c r="D6" s="37" t="s">
        <v>32</v>
      </c>
      <c r="E6" s="37" t="s">
        <v>33</v>
      </c>
      <c r="F6" s="37" t="s">
        <v>34</v>
      </c>
      <c r="G6" s="39" t="s">
        <v>35</v>
      </c>
      <c r="H6" s="39" t="s">
        <v>36</v>
      </c>
      <c r="I6" s="39" t="s">
        <v>37</v>
      </c>
      <c r="J6" s="42">
        <v>25345.74</v>
      </c>
      <c r="K6" s="42">
        <v>693174.98</v>
      </c>
    </row>
    <row r="7" spans="1:11">
      <c r="A7" s="38"/>
      <c r="B7" s="38"/>
      <c r="C7" s="38"/>
      <c r="D7" s="38"/>
      <c r="E7" s="38"/>
      <c r="F7" s="38"/>
      <c r="G7" s="40"/>
      <c r="H7" s="40"/>
      <c r="I7" s="40"/>
      <c r="J7" s="40"/>
      <c r="K7" s="40"/>
    </row>
    <row r="8" spans="1:11">
      <c r="A8" s="38"/>
      <c r="B8" s="38"/>
      <c r="C8" s="38"/>
      <c r="D8" s="38"/>
      <c r="E8" s="38"/>
      <c r="F8" s="38"/>
      <c r="G8" s="40"/>
      <c r="H8" s="40"/>
      <c r="I8" s="40"/>
      <c r="J8" s="40"/>
      <c r="K8" s="40"/>
    </row>
    <row r="9" spans="1:11">
      <c r="A9" s="38"/>
      <c r="B9" s="38"/>
      <c r="C9" s="38"/>
      <c r="D9" s="38"/>
      <c r="E9" s="38"/>
      <c r="F9" s="38"/>
      <c r="G9" s="40"/>
      <c r="H9" s="40"/>
      <c r="I9" s="41" t="s">
        <v>38</v>
      </c>
      <c r="J9" s="40"/>
      <c r="K9" s="40"/>
    </row>
    <row r="10" spans="1:11">
      <c r="A10" s="38"/>
      <c r="B10" s="38"/>
      <c r="C10" s="38"/>
      <c r="D10" s="38"/>
      <c r="E10" s="38"/>
      <c r="F10" s="38"/>
      <c r="G10" s="40"/>
      <c r="H10" s="40"/>
      <c r="I10" s="41" t="s">
        <v>37</v>
      </c>
      <c r="J10" s="43" t="str">
        <f>SUMIF(I6:I6,"CRC",J6:J6)*100/13</f>
        <v>0</v>
      </c>
      <c r="K10" s="40"/>
    </row>
    <row r="12" spans="1:11">
      <c r="A12" s="44" t="s">
        <v>39</v>
      </c>
      <c r="B12"/>
      <c r="C12"/>
      <c r="D12"/>
      <c r="E12"/>
      <c r="F12"/>
      <c r="G12"/>
      <c r="H12"/>
      <c r="I12"/>
      <c r="J12"/>
      <c r="K12"/>
    </row>
    <row r="13" spans="1:11">
      <c r="A13" s="7" t="s">
        <v>11</v>
      </c>
      <c r="B13"/>
      <c r="C13"/>
      <c r="D13"/>
      <c r="E13"/>
      <c r="F13"/>
      <c r="G13"/>
      <c r="H13"/>
      <c r="I13"/>
      <c r="J13"/>
      <c r="K13"/>
    </row>
    <row r="14" spans="1:11">
      <c r="A14" s="11" t="s">
        <v>12</v>
      </c>
      <c r="B14"/>
      <c r="C14"/>
      <c r="D14"/>
      <c r="E14"/>
      <c r="F14"/>
      <c r="G14"/>
      <c r="H14"/>
      <c r="I14"/>
      <c r="J14"/>
      <c r="K14"/>
    </row>
    <row r="15" spans="1:11">
      <c r="A15" s="15" t="s">
        <v>13</v>
      </c>
      <c r="B15"/>
      <c r="C15"/>
      <c r="D15"/>
      <c r="E15"/>
      <c r="F15"/>
      <c r="G15"/>
      <c r="H15"/>
      <c r="I15"/>
      <c r="J15"/>
      <c r="K15"/>
    </row>
    <row r="16" spans="1:11">
      <c r="A16" s="19" t="s">
        <v>14</v>
      </c>
      <c r="B16"/>
      <c r="C16"/>
      <c r="D16"/>
      <c r="E16"/>
      <c r="F16"/>
      <c r="G16"/>
      <c r="H16"/>
      <c r="I16"/>
      <c r="J16"/>
      <c r="K16"/>
    </row>
    <row r="17" spans="1:11">
      <c r="A17" s="23" t="s">
        <v>15</v>
      </c>
      <c r="B17"/>
      <c r="C17"/>
      <c r="D17"/>
      <c r="E17"/>
      <c r="F17"/>
      <c r="G17"/>
      <c r="H17"/>
      <c r="I17"/>
      <c r="J17"/>
      <c r="K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I5"/>
  <mergeCells>
    <mergeCell ref="A1:K1"/>
    <mergeCell ref="A2:K2"/>
    <mergeCell ref="A3:K3"/>
    <mergeCell ref="A4:K4"/>
    <mergeCell ref="A12:K12"/>
    <mergeCell ref="A13:K13"/>
    <mergeCell ref="A14:K14"/>
    <mergeCell ref="A15:K15"/>
    <mergeCell ref="A16:K16"/>
    <mergeCell ref="A17:K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de Recepciones</vt:lpstr>
      <vt:lpstr>Listado de Recepciones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2026-05-18T05:55:53-06:00</dcterms:created>
  <dcterms:modified xsi:type="dcterms:W3CDTF">2026-05-18T05:55:53-06:00</dcterms:modified>
  <dc:title>Untitled Spreadsheet</dc:title>
  <dc:description/>
  <dc:subject/>
  <cp:keywords/>
  <cp:category/>
</cp:coreProperties>
</file>